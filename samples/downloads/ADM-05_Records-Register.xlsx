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Register" sheetId="2" state="visible" r:id="rId4"/>
    <sheet name="Check-out log" sheetId="3" state="visible" r:id="rId5"/>
    <sheet name="Naming rules" sheetId="4" state="visible" r:id="rId6"/>
  </sheets>
  <definedNames>
    <definedName function="false" hidden="true" localSheetId="1" name="_xlnm._FilterDatabase" vbProcedure="false">Register!$A$4:$J$32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<sst xmlns="http://schemas.openxmlformats.org/spreadsheetml/2006/main" count="101" uniqueCount="80">
  <si>
    <t xml:space="preserve">How to use this template</t>
  </si>
  <si>
    <t xml:space="preserve">DEMONSTRATION PROJECT by Lizziewin Otero. Organization, names and figures are fictional.</t>
  </si>
  <si>
    <t xml:space="preserve">1. 'Register': one row per record or record group. Choose Dept code, Format and Status from the dropdowns.</t>
  </si>
  <si>
    <t xml:space="preserve">2. 'Keep until' is the retention date. Leave it blank for records kept permanently.</t>
  </si>
  <si>
    <t xml:space="preserve">3. 'Review flag' is a formula. It shows 'Review now' (yellow) when the keep-until date is within 90 days.</t>
  </si>
  <si>
    <t xml:space="preserve">4. Records marked 'Checked out' turn red until they are returned and set back to Active.</t>
  </si>
  <si>
    <t xml:space="preserve">5. 'Check-out log': record who borrowed a file. 'Days overdue' calculates itself until 'Returned on' is filled.</t>
  </si>
  <si>
    <t xml:space="preserve">6. 'Naming rules' explains the Record ID and file-name pattern. Retention periods in the examples are illustrative; follow your organization's actual policy.</t>
  </si>
  <si>
    <t xml:space="preserve">Records Register</t>
  </si>
  <si>
    <t xml:space="preserve">Brightwater Community Learning Center (fictional) · Review flag = keep-until date within 90 days</t>
  </si>
  <si>
    <t xml:space="preserve">Record ID</t>
  </si>
  <si>
    <t xml:space="preserve">Title</t>
  </si>
  <si>
    <t xml:space="preserve">Dept code</t>
  </si>
  <si>
    <t xml:space="preserve">Format</t>
  </si>
  <si>
    <t xml:space="preserve">Location</t>
  </si>
  <si>
    <t xml:space="preserve">Custodian</t>
  </si>
  <si>
    <t xml:space="preserve">Date filed</t>
  </si>
  <si>
    <t xml:space="preserve">Keep until</t>
  </si>
  <si>
    <t xml:space="preserve">Status</t>
  </si>
  <si>
    <t xml:space="preserve">Review flag</t>
  </si>
  <si>
    <t xml:space="preserve">BW-ADM-2026-001</t>
  </si>
  <si>
    <t xml:space="preserve">Staff meeting minutes, Jan–Oct 2026</t>
  </si>
  <si>
    <t xml:space="preserve">ADM</t>
  </si>
  <si>
    <t xml:space="preserve">Digital</t>
  </si>
  <si>
    <t xml:space="preserve">Shared Drive / ADM / 2026 / Minutes</t>
  </si>
  <si>
    <t xml:space="preserve">A. Reyes</t>
  </si>
  <si>
    <t xml:space="preserve">Active</t>
  </si>
  <si>
    <t xml:space="preserve">BW-FIN-2026-004</t>
  </si>
  <si>
    <t xml:space="preserve">Q3 expense receipts</t>
  </si>
  <si>
    <t xml:space="preserve">FIN</t>
  </si>
  <si>
    <t xml:space="preserve">Paper + scan</t>
  </si>
  <si>
    <t xml:space="preserve">Cabinet 2, Drawer B</t>
  </si>
  <si>
    <t xml:space="preserve">Treasurer</t>
  </si>
  <si>
    <t xml:space="preserve">BW-PRG-2026-012</t>
  </si>
  <si>
    <t xml:space="preserve">Evening English attendance sheets, Q3</t>
  </si>
  <si>
    <t xml:space="preserve">PRG</t>
  </si>
  <si>
    <t xml:space="preserve">Cabinet 1, Drawer A</t>
  </si>
  <si>
    <t xml:space="preserve">M. Santos</t>
  </si>
  <si>
    <t xml:space="preserve">Checked out</t>
  </si>
  <si>
    <t xml:space="preserve">BW-STU-2026-031</t>
  </si>
  <si>
    <t xml:space="preserve">Learner enrollment forms, 2026 intake</t>
  </si>
  <si>
    <t xml:space="preserve">STU</t>
  </si>
  <si>
    <t xml:space="preserve">Paper</t>
  </si>
  <si>
    <t xml:space="preserve">Locked cabinet 3 (restricted)</t>
  </si>
  <si>
    <t xml:space="preserve">BW-VOL-2026-007</t>
  </si>
  <si>
    <t xml:space="preserve">Volunteer agreements, 2026</t>
  </si>
  <si>
    <t xml:space="preserve">VOL</t>
  </si>
  <si>
    <t xml:space="preserve">Shared Drive / VOL / 2026 / Agreements</t>
  </si>
  <si>
    <t xml:space="preserve">R. Lim</t>
  </si>
  <si>
    <t xml:space="preserve">BW-ADM-2024-019</t>
  </si>
  <si>
    <t xml:space="preserve">Paper correspondence, 2024</t>
  </si>
  <si>
    <t xml:space="preserve">Storage room, Box 14</t>
  </si>
  <si>
    <t xml:space="preserve">Admin Assistant</t>
  </si>
  <si>
    <t xml:space="preserve">BW-PRG-2023-008</t>
  </si>
  <si>
    <t xml:space="preserve">Showcase 2023 photos and program</t>
  </si>
  <si>
    <t xml:space="preserve">Shared Drive / PRG / 2023 / Showcase</t>
  </si>
  <si>
    <t xml:space="preserve">J. Dela Cruz</t>
  </si>
  <si>
    <t xml:space="preserve">Archived</t>
  </si>
  <si>
    <t xml:space="preserve">Check-out Log</t>
  </si>
  <si>
    <t xml:space="preserve">Overdue returns turn red</t>
  </si>
  <si>
    <t xml:space="preserve">Borrowed by</t>
  </si>
  <si>
    <t xml:space="preserve">Date out</t>
  </si>
  <si>
    <t xml:space="preserve">Return by</t>
  </si>
  <si>
    <t xml:space="preserve">Returned on</t>
  </si>
  <si>
    <t xml:space="preserve">Days overdue</t>
  </si>
  <si>
    <t xml:space="preserve">File Naming Convention</t>
  </si>
  <si>
    <t xml:space="preserve">Use the same pattern for every digital file and Record ID</t>
  </si>
  <si>
    <t xml:space="preserve">Pattern</t>
  </si>
  <si>
    <t xml:space="preserve">BW-[DEPT]-[YEAR]-[NNN]_[short-title]_[YYYY-MM-DD]</t>
  </si>
  <si>
    <t xml:space="preserve">Example</t>
  </si>
  <si>
    <t xml:space="preserve">BW-ADM-2026-001_staff-minutes-oct_2026-10-08.pdf</t>
  </si>
  <si>
    <t xml:space="preserve">Administration</t>
  </si>
  <si>
    <t xml:space="preserve">Finance</t>
  </si>
  <si>
    <t xml:space="preserve">Programs</t>
  </si>
  <si>
    <t xml:space="preserve">Student Records (restricted)</t>
  </si>
  <si>
    <t xml:space="preserve">Volunteers</t>
  </si>
  <si>
    <t xml:space="preserve">Dates</t>
  </si>
  <si>
    <t xml:space="preserve">Year-month-day, so files sort in date order</t>
  </si>
  <si>
    <t xml:space="preserve">Words</t>
  </si>
  <si>
    <t xml:space="preserve">Lowercase, joined by hyphens. No spaces, no 'final-v2'.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</si>
</sst>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9A6A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8223A"/>
      <name val="Arial"/>
      <family val="0"/>
      <charset val="1"/>
    </font>
    <font>
      <i val="true"/>
      <sz val="9"/>
      <color rgb="FF4F59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22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AE3"/>
      </left>
      <right style="thin">
        <color rgb="FFD6DAE3"/>
      </right>
      <top style="thin">
        <color rgb="FFD6DAE3"/>
      </top>
      <bottom style="thin">
        <color rgb="FFD6DA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8223A"/>
          <bgColor rgb="FF000000"/>
        </patternFill>
      </fill>
    </dxf>
    <dxf>
      <fill>
        <patternFill patternType="solid">
          <fgColor rgb="FFFBE4E2"/>
          <bgColor rgb="FF000000"/>
        </patternFill>
      </fill>
    </dxf>
    <dxf>
      <fill>
        <patternFill patternType="solid">
          <fgColor rgb="FFFBF0D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BF0D4"/>
        </patternFill>
      </fill>
    </dxf>
    <dxf>
      <fill>
        <patternFill>
          <bgColor rgb="FFFBE4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00"/>
      <rgbColor rgb="FF800080"/>
      <rgbColor rgb="FF008080"/>
      <rgbColor rgb="FFC0C0C0"/>
      <rgbColor rgb="FF808080"/>
      <rgbColor rgb="FF9999FF"/>
      <rgbColor rgb="FF993366"/>
      <rgbColor rgb="FFFBF0D4"/>
      <rgbColor rgb="FFCCFFFF"/>
      <rgbColor rgb="FF660066"/>
      <rgbColor rgb="FFFF8080"/>
      <rgbColor rgb="FF0066CC"/>
      <rgbColor rgb="FFD6DA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2"/>
      <rgbColor rgb="FF3366FF"/>
      <rgbColor rgb="FF33CCCC"/>
      <rgbColor rgb="FF99CC00"/>
      <rgbColor rgb="FFFFCC00"/>
      <rgbColor rgb="FFFF9900"/>
      <rgbColor rgb="FFFF6600"/>
      <rgbColor rgb="FF4F596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23.85" hidden="false" customHeight="false" outlineLevel="0" collapsed="false">
      <c r="A9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8" min="7" style="0" width="13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4" t="s">
        <v>8</v>
      </c>
    </row>
    <row r="2" customFormat="false" ht="15" hidden="false" customHeight="false" outlineLevel="0" collapsed="false">
      <c r="A2" s="5" t="s">
        <v>9</v>
      </c>
    </row>
    <row r="4" customFormat="false" ht="30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customFormat="false" ht="15" hidden="false" customHeight="false" outlineLevel="0" collapsed="false">
      <c r="A5" s="7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8" t="n">
        <v>46303</v>
      </c>
      <c r="H5" s="8" t="n">
        <v>48213</v>
      </c>
      <c r="I5" s="7" t="s">
        <v>26</v>
      </c>
      <c r="J5" s="7" t="str">
        <f aca="true">IF(H5="","",IF(H5-TODAY()&lt;=90,"Review now",""))</f>
        <v/>
      </c>
    </row>
    <row r="6" customFormat="false" ht="15" hidden="false" customHeight="false" outlineLevel="0" collapsed="false">
      <c r="A6" s="7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8" t="n">
        <v>46297</v>
      </c>
      <c r="H6" s="8" t="n">
        <v>50040</v>
      </c>
      <c r="I6" s="7" t="s">
        <v>26</v>
      </c>
      <c r="J6" s="7" t="str">
        <f aca="true">IF(H6="","",IF(H6-TODAY()&lt;=90,"Review now",""))</f>
        <v/>
      </c>
    </row>
    <row r="7" customFormat="false" ht="15" hidden="false" customHeight="false" outlineLevel="0" collapsed="false">
      <c r="A7" s="7" t="s">
        <v>33</v>
      </c>
      <c r="B7" s="7" t="s">
        <v>34</v>
      </c>
      <c r="C7" s="7" t="s">
        <v>35</v>
      </c>
      <c r="D7" s="7" t="s">
        <v>30</v>
      </c>
      <c r="E7" s="7" t="s">
        <v>36</v>
      </c>
      <c r="F7" s="7" t="s">
        <v>37</v>
      </c>
      <c r="G7" s="8" t="n">
        <v>46296</v>
      </c>
      <c r="H7" s="8" t="n">
        <v>47483</v>
      </c>
      <c r="I7" s="7" t="s">
        <v>38</v>
      </c>
      <c r="J7" s="7" t="str">
        <f aca="true">IF(H7="","",IF(H7-TODAY()&lt;=90,"Review now",""))</f>
        <v/>
      </c>
    </row>
    <row r="8" customFormat="false" ht="15" hidden="false" customHeight="false" outlineLevel="0" collapsed="false">
      <c r="A8" s="7" t="s">
        <v>39</v>
      </c>
      <c r="B8" s="7" t="s">
        <v>40</v>
      </c>
      <c r="C8" s="7" t="s">
        <v>41</v>
      </c>
      <c r="D8" s="7" t="s">
        <v>42</v>
      </c>
      <c r="E8" s="7" t="s">
        <v>43</v>
      </c>
      <c r="F8" s="7" t="s">
        <v>25</v>
      </c>
      <c r="G8" s="8" t="n">
        <v>46280</v>
      </c>
      <c r="H8" s="8" t="n">
        <v>48213</v>
      </c>
      <c r="I8" s="7" t="s">
        <v>26</v>
      </c>
      <c r="J8" s="7" t="str">
        <f aca="true">IF(H8="","",IF(H8-TODAY()&lt;=90,"Review now",""))</f>
        <v/>
      </c>
    </row>
    <row r="9" customFormat="false" ht="15" hidden="false" customHeight="false" outlineLevel="0" collapsed="false">
      <c r="A9" s="7" t="s">
        <v>44</v>
      </c>
      <c r="B9" s="7" t="s">
        <v>45</v>
      </c>
      <c r="C9" s="7" t="s">
        <v>46</v>
      </c>
      <c r="D9" s="7" t="s">
        <v>23</v>
      </c>
      <c r="E9" s="7" t="s">
        <v>47</v>
      </c>
      <c r="F9" s="7" t="s">
        <v>48</v>
      </c>
      <c r="G9" s="8" t="n">
        <v>46304</v>
      </c>
      <c r="H9" s="8" t="n">
        <v>47483</v>
      </c>
      <c r="I9" s="7" t="s">
        <v>26</v>
      </c>
      <c r="J9" s="7" t="str">
        <f aca="true">IF(H9="","",IF(H9-TODAY()&lt;=90,"Review now",""))</f>
        <v/>
      </c>
    </row>
    <row r="10" customFormat="false" ht="15" hidden="false" customHeight="false" outlineLevel="0" collapsed="false">
      <c r="A10" s="7" t="s">
        <v>49</v>
      </c>
      <c r="B10" s="7" t="s">
        <v>50</v>
      </c>
      <c r="C10" s="7" t="s">
        <v>22</v>
      </c>
      <c r="D10" s="7" t="s">
        <v>42</v>
      </c>
      <c r="E10" s="7" t="s">
        <v>51</v>
      </c>
      <c r="F10" s="7" t="s">
        <v>52</v>
      </c>
      <c r="G10" s="8" t="n">
        <v>45646</v>
      </c>
      <c r="H10" s="8" t="n">
        <v>46387</v>
      </c>
      <c r="I10" s="7" t="s">
        <v>26</v>
      </c>
      <c r="J10" s="7" t="str">
        <f aca="true">IF(H10="","",IF(H10-TODAY()&lt;=90,"Review now",""))</f>
        <v>Review now</v>
      </c>
    </row>
    <row r="11" customFormat="false" ht="15" hidden="false" customHeight="false" outlineLevel="0" collapsed="false">
      <c r="A11" s="7" t="s">
        <v>53</v>
      </c>
      <c r="B11" s="7" t="s">
        <v>54</v>
      </c>
      <c r="C11" s="7" t="s">
        <v>35</v>
      </c>
      <c r="D11" s="7" t="s">
        <v>23</v>
      </c>
      <c r="E11" s="7" t="s">
        <v>55</v>
      </c>
      <c r="F11" s="7" t="s">
        <v>56</v>
      </c>
      <c r="G11" s="8" t="n">
        <v>45301</v>
      </c>
      <c r="H11" s="8"/>
      <c r="I11" s="7" t="s">
        <v>57</v>
      </c>
      <c r="J11" s="7" t="str">
        <f aca="true">IF(H11="","",IF(H11-TODAY()&lt;=90,"Review now",""))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8"/>
      <c r="H12" s="8"/>
      <c r="I12" s="7"/>
      <c r="J12" s="7" t="str">
        <f aca="true">IF(H12="","",IF(H12-TODAY()&lt;=90,"Review now",""))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8"/>
      <c r="H13" s="8"/>
      <c r="I13" s="7"/>
      <c r="J13" s="7" t="str">
        <f aca="true">IF(H13="","",IF(H13-TODAY()&lt;=90,"Review now",""))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8"/>
      <c r="H14" s="8"/>
      <c r="I14" s="7"/>
      <c r="J14" s="7" t="str">
        <f aca="true">IF(H14="","",IF(H14-TODAY()&lt;=90,"Review now",""))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8"/>
      <c r="H15" s="8"/>
      <c r="I15" s="7"/>
      <c r="J15" s="7" t="str">
        <f aca="true">IF(H15="","",IF(H15-TODAY()&lt;=90,"Review now",""))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8"/>
      <c r="H16" s="8"/>
      <c r="I16" s="7"/>
      <c r="J16" s="7" t="str">
        <f aca="true">IF(H16="","",IF(H16-TODAY()&lt;=90,"Review now",""))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8"/>
      <c r="H17" s="8"/>
      <c r="I17" s="7"/>
      <c r="J17" s="7" t="str">
        <f aca="true">IF(H17="","",IF(H17-TODAY()&lt;=90,"Review now",""))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8"/>
      <c r="H18" s="8"/>
      <c r="I18" s="7"/>
      <c r="J18" s="7" t="str">
        <f aca="true">IF(H18="","",IF(H18-TODAY()&lt;=90,"Review now",""))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8"/>
      <c r="H19" s="8"/>
      <c r="I19" s="7"/>
      <c r="J19" s="7" t="str">
        <f aca="true">IF(H19="","",IF(H19-TODAY()&lt;=90,"Review now",""))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8"/>
      <c r="H20" s="8"/>
      <c r="I20" s="7"/>
      <c r="J20" s="7" t="str">
        <f aca="true">IF(H20="","",IF(H20-TODAY()&lt;=90,"Review now",""))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8"/>
      <c r="H21" s="8"/>
      <c r="I21" s="7"/>
      <c r="J21" s="7" t="str">
        <f aca="true">IF(H21="","",IF(H21-TODAY()&lt;=90,"Review now",""))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8"/>
      <c r="H22" s="8"/>
      <c r="I22" s="7"/>
      <c r="J22" s="7" t="str">
        <f aca="true">IF(H22="","",IF(H22-TODAY()&lt;=90,"Review now",""))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8"/>
      <c r="H23" s="8"/>
      <c r="I23" s="7"/>
      <c r="J23" s="7" t="str">
        <f aca="true">IF(H23="","",IF(H23-TODAY()&lt;=90,"Review now",""))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8"/>
      <c r="H24" s="8"/>
      <c r="I24" s="7"/>
      <c r="J24" s="7" t="str">
        <f aca="true">IF(H24="","",IF(H24-TODAY()&lt;=90,"Review now",""))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8"/>
      <c r="H25" s="8"/>
      <c r="I25" s="7"/>
      <c r="J25" s="7" t="str">
        <f aca="true">IF(H25="","",IF(H25-TODAY()&lt;=90,"Review now",""))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8"/>
      <c r="H26" s="8"/>
      <c r="I26" s="7"/>
      <c r="J26" s="7" t="str">
        <f aca="true">IF(H26="","",IF(H26-TODAY()&lt;=90,"Review now",""))</f>
        <v/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8"/>
      <c r="H27" s="8"/>
      <c r="I27" s="7"/>
      <c r="J27" s="7" t="str">
        <f aca="true">IF(H27="","",IF(H27-TODAY()&lt;=90,"Review now",""))</f>
        <v/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8"/>
      <c r="H28" s="8"/>
      <c r="I28" s="7"/>
      <c r="J28" s="7" t="str">
        <f aca="true">IF(H28="","",IF(H28-TODAY()&lt;=90,"Review now",""))</f>
        <v/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8"/>
      <c r="H29" s="8"/>
      <c r="I29" s="7"/>
      <c r="J29" s="7" t="str">
        <f aca="true">IF(H29="","",IF(H29-TODAY()&lt;=90,"Review now",""))</f>
        <v/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8"/>
      <c r="H30" s="8"/>
      <c r="I30" s="7"/>
      <c r="J30" s="7" t="str">
        <f aca="true">IF(H30="","",IF(H30-TODAY()&lt;=90,"Review now",""))</f>
        <v/>
      </c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8"/>
      <c r="H31" s="8"/>
      <c r="I31" s="7"/>
      <c r="J31" s="7" t="str">
        <f aca="true">IF(H31="","",IF(H31-TODAY()&lt;=90,"Review now",""))</f>
        <v/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8"/>
      <c r="H32" s="8"/>
      <c r="I32" s="7"/>
      <c r="J32" s="7" t="str">
        <f aca="true">IF(H32="","",IF(H32-TODAY()&lt;=90,"Review now",""))</f>
        <v/>
      </c>
    </row>
  </sheetData>
  <autoFilter ref="A4:J32"/>
  <conditionalFormatting sqref="A5:J32">
    <cfRule type="expression" priority="2" aboveAverage="0" equalAverage="0" bottom="0" percent="0" rank="0" text="" dxfId="5">
      <formula>$J5="Review now"</formula>
    </cfRule>
    <cfRule type="expression" priority="3" aboveAverage="0" equalAverage="0" bottom="0" percent="0" rank="0" text="" dxfId="6">
      <formula>$I5="Checked out"</formula>
    </cfRule>
  </conditionalFormatting>
  <dataValidations count="3">
    <dataValidation allowBlank="true" errorStyle="stop" operator="between" showDropDown="false" showErrorMessage="false" showInputMessage="false" sqref="C5:C32" type="list">
      <formula1>"ADM,FIN,PRG,STU,VOL"</formula1>
      <formula2>0</formula2>
    </dataValidation>
    <dataValidation allowBlank="true" errorStyle="stop" operator="between" showDropDown="false" showErrorMessage="false" showInputMessage="false" sqref="I5:I32" type="list">
      <formula1>"Active,Checked out,Archived,Disposed"</formula1>
      <formula2>0</formula2>
    </dataValidation>
    <dataValidation allowBlank="true" errorStyle="stop" operator="between" showDropDown="false" showErrorMessage="false" showInputMessage="false" sqref="D5:D32" type="list">
      <formula1>"Digital,Paper,Paper + scan"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6" min="3" style="0" width="13"/>
  </cols>
  <sheetData>
    <row r="1" customFormat="false" ht="17.35" hidden="false" customHeight="false" outlineLevel="0" collapsed="false">
      <c r="A1" s="4" t="s">
        <v>58</v>
      </c>
    </row>
    <row r="2" customFormat="false" ht="15" hidden="false" customHeight="false" outlineLevel="0" collapsed="false">
      <c r="A2" s="5" t="s">
        <v>59</v>
      </c>
    </row>
    <row r="4" customFormat="false" ht="30" hidden="false" customHeight="true" outlineLevel="0" collapsed="false">
      <c r="A4" s="6" t="s">
        <v>10</v>
      </c>
      <c r="B4" s="6" t="s">
        <v>60</v>
      </c>
      <c r="C4" s="6" t="s">
        <v>61</v>
      </c>
      <c r="D4" s="6" t="s">
        <v>62</v>
      </c>
      <c r="E4" s="6" t="s">
        <v>63</v>
      </c>
      <c r="F4" s="6" t="s">
        <v>64</v>
      </c>
    </row>
    <row r="5" customFormat="false" ht="15" hidden="false" customHeight="false" outlineLevel="0" collapsed="false">
      <c r="A5" s="7" t="s">
        <v>33</v>
      </c>
      <c r="B5" s="7" t="s">
        <v>37</v>
      </c>
      <c r="C5" s="8" t="n">
        <v>46309</v>
      </c>
      <c r="D5" s="8" t="n">
        <v>46316</v>
      </c>
      <c r="E5" s="8"/>
      <c r="F5" s="7" t="n">
        <f aca="true">IF(OR(D5="",E5&lt;&gt;""),"",MAX(0,TODAY()-D5))</f>
        <v>0</v>
      </c>
    </row>
    <row r="6" customFormat="false" ht="15" hidden="false" customHeight="false" outlineLevel="0" collapsed="false">
      <c r="A6" s="7" t="s">
        <v>27</v>
      </c>
      <c r="B6" s="7" t="s">
        <v>32</v>
      </c>
      <c r="C6" s="8" t="n">
        <v>46300</v>
      </c>
      <c r="D6" s="8" t="n">
        <v>46302</v>
      </c>
      <c r="E6" s="8" t="n">
        <v>46302</v>
      </c>
      <c r="F6" s="7" t="str">
        <f aca="true">IF(OR(D6="",E6&lt;&gt;""),"",MAX(0,TODAY()-D6))</f>
        <v/>
      </c>
    </row>
    <row r="7" customFormat="false" ht="15" hidden="false" customHeight="false" outlineLevel="0" collapsed="false">
      <c r="A7" s="7"/>
      <c r="B7" s="7"/>
      <c r="C7" s="8"/>
      <c r="D7" s="8"/>
      <c r="E7" s="8"/>
      <c r="F7" s="7" t="str">
        <f aca="true">IF(OR(D7="",E7&lt;&gt;""),"",MAX(0,TODAY()-D7))</f>
        <v/>
      </c>
    </row>
    <row r="8" customFormat="false" ht="15" hidden="false" customHeight="false" outlineLevel="0" collapsed="false">
      <c r="A8" s="7"/>
      <c r="B8" s="7"/>
      <c r="C8" s="8"/>
      <c r="D8" s="8"/>
      <c r="E8" s="8"/>
      <c r="F8" s="7" t="str">
        <f aca="true">IF(OR(D8="",E8&lt;&gt;""),"",MAX(0,TODAY()-D8))</f>
        <v/>
      </c>
    </row>
    <row r="9" customFormat="false" ht="15" hidden="false" customHeight="false" outlineLevel="0" collapsed="false">
      <c r="A9" s="7"/>
      <c r="B9" s="7"/>
      <c r="C9" s="8"/>
      <c r="D9" s="8"/>
      <c r="E9" s="8"/>
      <c r="F9" s="7" t="str">
        <f aca="true">IF(OR(D9="",E9&lt;&gt;""),"",MAX(0,TODAY()-D9))</f>
        <v/>
      </c>
    </row>
    <row r="10" customFormat="false" ht="15" hidden="false" customHeight="false" outlineLevel="0" collapsed="false">
      <c r="A10" s="7"/>
      <c r="B10" s="7"/>
      <c r="C10" s="8"/>
      <c r="D10" s="8"/>
      <c r="E10" s="8"/>
      <c r="F10" s="7" t="str">
        <f aca="true">IF(OR(D10="",E10&lt;&gt;""),"",MAX(0,TODAY()-D10))</f>
        <v/>
      </c>
    </row>
    <row r="11" customFormat="false" ht="15" hidden="false" customHeight="false" outlineLevel="0" collapsed="false">
      <c r="A11" s="7"/>
      <c r="B11" s="7"/>
      <c r="C11" s="8"/>
      <c r="D11" s="8"/>
      <c r="E11" s="8"/>
      <c r="F11" s="7" t="str">
        <f aca="true">IF(OR(D11="",E11&lt;&gt;""),"",MAX(0,TODAY()-D11))</f>
        <v/>
      </c>
    </row>
    <row r="12" customFormat="false" ht="15" hidden="false" customHeight="false" outlineLevel="0" collapsed="false">
      <c r="A12" s="7"/>
      <c r="B12" s="7"/>
      <c r="C12" s="8"/>
      <c r="D12" s="8"/>
      <c r="E12" s="8"/>
      <c r="F12" s="7" t="str">
        <f aca="true">IF(OR(D12="",E12&lt;&gt;""),"",MAX(0,TODAY()-D12))</f>
        <v/>
      </c>
    </row>
    <row r="13" customFormat="false" ht="15" hidden="false" customHeight="false" outlineLevel="0" collapsed="false">
      <c r="A13" s="7"/>
      <c r="B13" s="7"/>
      <c r="C13" s="8"/>
      <c r="D13" s="8"/>
      <c r="E13" s="8"/>
      <c r="F13" s="7" t="str">
        <f aca="true">IF(OR(D13="",E13&lt;&gt;""),"",MAX(0,TODAY()-D13))</f>
        <v/>
      </c>
    </row>
    <row r="14" customFormat="false" ht="15" hidden="false" customHeight="false" outlineLevel="0" collapsed="false">
      <c r="A14" s="7"/>
      <c r="B14" s="7"/>
      <c r="C14" s="8"/>
      <c r="D14" s="8"/>
      <c r="E14" s="8"/>
      <c r="F14" s="7" t="str">
        <f aca="true">IF(OR(D14="",E14&lt;&gt;""),"",MAX(0,TODAY()-D14))</f>
        <v/>
      </c>
    </row>
    <row r="15" customFormat="false" ht="15" hidden="false" customHeight="false" outlineLevel="0" collapsed="false">
      <c r="A15" s="7"/>
      <c r="B15" s="7"/>
      <c r="C15" s="8"/>
      <c r="D15" s="8"/>
      <c r="E15" s="8"/>
      <c r="F15" s="7" t="str">
        <f aca="true">IF(OR(D15="",E15&lt;&gt;""),"",MAX(0,TODAY()-D15))</f>
        <v/>
      </c>
    </row>
    <row r="16" customFormat="false" ht="15" hidden="false" customHeight="false" outlineLevel="0" collapsed="false">
      <c r="A16" s="7"/>
      <c r="B16" s="7"/>
      <c r="C16" s="8"/>
      <c r="D16" s="8"/>
      <c r="E16" s="8"/>
      <c r="F16" s="7" t="str">
        <f aca="true">IF(OR(D16="",E16&lt;&gt;""),"",MAX(0,TODAY()-D16))</f>
        <v/>
      </c>
    </row>
    <row r="17" customFormat="false" ht="15" hidden="false" customHeight="false" outlineLevel="0" collapsed="false">
      <c r="A17" s="7"/>
      <c r="B17" s="7"/>
      <c r="C17" s="8"/>
      <c r="D17" s="8"/>
      <c r="E17" s="8"/>
      <c r="F17" s="7" t="str">
        <f aca="true">IF(OR(D17="",E17&lt;&gt;""),"",MAX(0,TODAY()-D17))</f>
        <v/>
      </c>
    </row>
    <row r="18" customFormat="false" ht="15" hidden="false" customHeight="false" outlineLevel="0" collapsed="false">
      <c r="A18" s="7"/>
      <c r="B18" s="7"/>
      <c r="C18" s="8"/>
      <c r="D18" s="8"/>
      <c r="E18" s="8"/>
      <c r="F18" s="7" t="str">
        <f aca="true">IF(OR(D18="",E18&lt;&gt;""),"",MAX(0,TODAY()-D18))</f>
        <v/>
      </c>
    </row>
    <row r="19" customFormat="false" ht="15" hidden="false" customHeight="false" outlineLevel="0" collapsed="false">
      <c r="A19" s="7"/>
      <c r="B19" s="7"/>
      <c r="C19" s="8"/>
      <c r="D19" s="8"/>
      <c r="E19" s="8"/>
      <c r="F19" s="7" t="str">
        <f aca="true">IF(OR(D19="",E19&lt;&gt;""),"",MAX(0,TODAY()-D19))</f>
        <v/>
      </c>
    </row>
    <row r="20" customFormat="false" ht="15" hidden="false" customHeight="false" outlineLevel="0" collapsed="false">
      <c r="A20" s="7"/>
      <c r="B20" s="7"/>
      <c r="C20" s="8"/>
      <c r="D20" s="8"/>
      <c r="E20" s="8"/>
      <c r="F20" s="7" t="str">
        <f aca="true">IF(OR(D20="",E20&lt;&gt;""),"",MAX(0,TODAY()-D20))</f>
        <v/>
      </c>
    </row>
    <row r="21" customFormat="false" ht="15" hidden="false" customHeight="false" outlineLevel="0" collapsed="false">
      <c r="A21" s="7"/>
      <c r="B21" s="7"/>
      <c r="C21" s="8"/>
      <c r="D21" s="8"/>
      <c r="E21" s="8"/>
      <c r="F21" s="7" t="str">
        <f aca="true">IF(OR(D21="",E21&lt;&gt;""),"",MAX(0,TODAY()-D21))</f>
        <v/>
      </c>
    </row>
    <row r="22" customFormat="false" ht="15" hidden="false" customHeight="false" outlineLevel="0" collapsed="false">
      <c r="A22" s="7"/>
      <c r="B22" s="7"/>
      <c r="C22" s="8"/>
      <c r="D22" s="8"/>
      <c r="E22" s="8"/>
      <c r="F22" s="7" t="str">
        <f aca="true">IF(OR(D22="",E22&lt;&gt;""),"",MAX(0,TODAY()-D22))</f>
        <v/>
      </c>
    </row>
    <row r="23" customFormat="false" ht="15" hidden="false" customHeight="false" outlineLevel="0" collapsed="false">
      <c r="A23" s="7"/>
      <c r="B23" s="7"/>
      <c r="C23" s="8"/>
      <c r="D23" s="8"/>
      <c r="E23" s="8"/>
      <c r="F23" s="7" t="str">
        <f aca="true">IF(OR(D23="",E23&lt;&gt;""),"",MAX(0,TODAY()-D23))</f>
        <v/>
      </c>
    </row>
    <row r="24" customFormat="false" ht="15" hidden="false" customHeight="false" outlineLevel="0" collapsed="false">
      <c r="A24" s="7"/>
      <c r="B24" s="7"/>
      <c r="C24" s="8"/>
      <c r="D24" s="8"/>
      <c r="E24" s="8"/>
      <c r="F24" s="7" t="str">
        <f aca="true">IF(OR(D24="",E24&lt;&gt;""),"",MAX(0,TODAY()-D24))</f>
        <v/>
      </c>
    </row>
    <row r="25" customFormat="false" ht="15" hidden="false" customHeight="false" outlineLevel="0" collapsed="false">
      <c r="A25" s="7"/>
      <c r="B25" s="7"/>
      <c r="C25" s="8"/>
      <c r="D25" s="8"/>
      <c r="E25" s="8"/>
      <c r="F25" s="7" t="str">
        <f aca="true">IF(OR(D25="",E25&lt;&gt;""),"",MAX(0,TODAY()-D25))</f>
        <v/>
      </c>
    </row>
    <row r="26" customFormat="false" ht="15" hidden="false" customHeight="false" outlineLevel="0" collapsed="false">
      <c r="A26" s="7"/>
      <c r="B26" s="7"/>
      <c r="C26" s="8"/>
      <c r="D26" s="8"/>
      <c r="E26" s="8"/>
      <c r="F26" s="7" t="str">
        <f aca="true">IF(OR(D26="",E26&lt;&gt;""),"",MAX(0,TODAY()-D26))</f>
        <v/>
      </c>
    </row>
    <row r="27" customFormat="false" ht="15" hidden="false" customHeight="false" outlineLevel="0" collapsed="false">
      <c r="A27" s="7"/>
      <c r="B27" s="7"/>
      <c r="C27" s="8"/>
      <c r="D27" s="8"/>
      <c r="E27" s="8"/>
      <c r="F27" s="7" t="str">
        <f aca="true">IF(OR(D27="",E27&lt;&gt;""),"",MAX(0,TODAY()-D27))</f>
        <v/>
      </c>
    </row>
  </sheetData>
  <conditionalFormatting sqref="A5:F27">
    <cfRule type="expression" priority="2" aboveAverage="0" equalAverage="0" bottom="0" percent="0" rank="0" text="" dxfId="6">
      <formula>AND($F5&lt;&gt;"",$F5&gt;0)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4" t="s">
        <v>65</v>
      </c>
    </row>
    <row r="2" customFormat="false" ht="15" hidden="false" customHeight="false" outlineLevel="0" collapsed="false">
      <c r="A2" s="5" t="s">
        <v>66</v>
      </c>
    </row>
    <row r="4" customFormat="false" ht="15" hidden="false" customHeight="false" outlineLevel="0" collapsed="false">
      <c r="A4" s="9" t="s">
        <v>67</v>
      </c>
      <c r="B4" s="10" t="s">
        <v>68</v>
      </c>
    </row>
    <row r="5" customFormat="false" ht="15" hidden="false" customHeight="false" outlineLevel="0" collapsed="false">
      <c r="A5" s="9" t="s">
        <v>69</v>
      </c>
      <c r="B5" s="10" t="s">
        <v>70</v>
      </c>
    </row>
    <row r="6" customFormat="false" ht="15" hidden="false" customHeight="false" outlineLevel="0" collapsed="false">
      <c r="A6" s="9" t="s">
        <v>22</v>
      </c>
      <c r="B6" s="10" t="s">
        <v>71</v>
      </c>
    </row>
    <row r="7" customFormat="false" ht="15" hidden="false" customHeight="false" outlineLevel="0" collapsed="false">
      <c r="A7" s="9" t="s">
        <v>29</v>
      </c>
      <c r="B7" s="10" t="s">
        <v>72</v>
      </c>
    </row>
    <row r="8" customFormat="false" ht="15" hidden="false" customHeight="false" outlineLevel="0" collapsed="false">
      <c r="A8" s="9" t="s">
        <v>35</v>
      </c>
      <c r="B8" s="10" t="s">
        <v>73</v>
      </c>
    </row>
    <row r="9" customFormat="false" ht="15" hidden="false" customHeight="false" outlineLevel="0" collapsed="false">
      <c r="A9" s="9" t="s">
        <v>41</v>
      </c>
      <c r="B9" s="10" t="s">
        <v>74</v>
      </c>
    </row>
    <row r="10" customFormat="false" ht="15" hidden="false" customHeight="false" outlineLevel="0" collapsed="false">
      <c r="A10" s="9" t="s">
        <v>46</v>
      </c>
      <c r="B10" s="10" t="s">
        <v>75</v>
      </c>
    </row>
    <row r="11" customFormat="false" ht="15" hidden="false" customHeight="false" outlineLevel="0" collapsed="false">
      <c r="A11" s="9" t="s">
        <v>76</v>
      </c>
      <c r="B11" s="10" t="s">
        <v>77</v>
      </c>
    </row>
    <row r="12" customFormat="false" ht="15" hidden="false" customHeight="false" outlineLevel="0" collapsed="false">
      <c r="A12" s="9" t="s">
        <v>78</v>
      </c>
      <c r="B12" s="1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2026-10-18T03:11:38Z</dcterms:created>
  <dc:creator>openpyxl</dc:creator>
  <dc:description/>
  <dc:language>en-US</dc:language>
  <cp:lastModifiedBy/>
  <dcterms:modified xsi:type="dcterms:W3CDTF">2026-10-18T03:11:38Z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