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asks" sheetId="2" state="visible" r:id="rId4"/>
    <sheet name="Summary" sheetId="3" state="visible" r:id="rId5"/>
  </sheets>
  <definedNames>
    <definedName function="false" hidden="true" localSheetId="1" name="_xlnm._FilterDatabase" vbProcedure="false">Tasks!$A$4:$J$29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<sst xmlns="http://schemas.openxmlformats.org/spreadsheetml/2006/main" count="90" uniqueCount="61">
  <si>
    <t xml:space="preserve">How to use this template</t>
  </si>
  <si>
    <t xml:space="preserve">DEMONSTRATION PROJECT by Lizziewin Otero. Organization, names and figures are fictional.</t>
  </si>
  <si>
    <t xml:space="preserve">1. Go to the Tasks sheet. White rows below the example tasks are ready for new entries.</t>
  </si>
  <si>
    <t xml:space="preserve">2. Fill in ID, Task, Owner, Start and Due. Choose Priority and Status from the dropdown lists.</t>
  </si>
  <si>
    <t xml:space="preserve">3. Do not type in 'Days left'. It is a formula: due date minus today. It is blank once a task is Done.</t>
  </si>
  <si>
    <t xml:space="preserve">4. Row colors: red = past due and not done; yellow = due within 3 days; green = done.</t>
  </si>
  <si>
    <t xml:space="preserve">5. The Summary sheet counts tasks by status and open tasks by owner. To add an owner, type the name in column A of the owner table.</t>
  </si>
  <si>
    <t xml:space="preserve">6. The example rows show the expected format. Delete them when you start a real project.</t>
  </si>
  <si>
    <t xml:space="preserve">Task and Project Tracker: Shared Drive Project</t>
  </si>
  <si>
    <t xml:space="preserve">Brightwater Community Learning Center (fictional) · Days left counts from today's date</t>
  </si>
  <si>
    <t xml:space="preserve">ID</t>
  </si>
  <si>
    <t xml:space="preserve">Task</t>
  </si>
  <si>
    <t xml:space="preserve">Owner</t>
  </si>
  <si>
    <t xml:space="preserve">Priority</t>
  </si>
  <si>
    <t xml:space="preserve">Start</t>
  </si>
  <si>
    <t xml:space="preserve">Due</t>
  </si>
  <si>
    <t xml:space="preserve">Status</t>
  </si>
  <si>
    <t xml:space="preserve">% Done</t>
  </si>
  <si>
    <t xml:space="preserve">Days left</t>
  </si>
  <si>
    <t xml:space="preserve">Notes</t>
  </si>
  <si>
    <t xml:space="preserve">T-01</t>
  </si>
  <si>
    <t xml:space="preserve">Draft shared-drive folder structure</t>
  </si>
  <si>
    <t xml:space="preserve">Admin Assistant</t>
  </si>
  <si>
    <t xml:space="preserve">High</t>
  </si>
  <si>
    <t xml:space="preserve">Done</t>
  </si>
  <si>
    <t xml:space="preserve">T-02</t>
  </si>
  <si>
    <t xml:space="preserve">Write file-naming guide (1 page)</t>
  </si>
  <si>
    <t xml:space="preserve">T-03</t>
  </si>
  <si>
    <t xml:space="preserve">Collect files from staff laptops</t>
  </si>
  <si>
    <t xml:space="preserve">M. Santos</t>
  </si>
  <si>
    <t xml:space="preserve">Medium</t>
  </si>
  <si>
    <t xml:space="preserve">In progress</t>
  </si>
  <si>
    <t xml:space="preserve">T-04</t>
  </si>
  <si>
    <t xml:space="preserve">Set folder permissions for student records</t>
  </si>
  <si>
    <t xml:space="preserve">A. Reyes</t>
  </si>
  <si>
    <t xml:space="preserve">Restricted folder</t>
  </si>
  <si>
    <t xml:space="preserve">T-05</t>
  </si>
  <si>
    <t xml:space="preserve">Get venue quotes for learners' showcase</t>
  </si>
  <si>
    <t xml:space="preserve">J. Dela Cruz</t>
  </si>
  <si>
    <t xml:space="preserve">One quote received</t>
  </si>
  <si>
    <t xml:space="preserve">T-06</t>
  </si>
  <si>
    <t xml:space="preserve">Send November tutor schedule</t>
  </si>
  <si>
    <t xml:space="preserve">R. Lim</t>
  </si>
  <si>
    <t xml:space="preserve">Not started</t>
  </si>
  <si>
    <t xml:space="preserve">T-07</t>
  </si>
  <si>
    <t xml:space="preserve">Prepare Q3 attendance summary</t>
  </si>
  <si>
    <t xml:space="preserve">T-08</t>
  </si>
  <si>
    <t xml:space="preserve">Train staff on the shared drive (30 min)</t>
  </si>
  <si>
    <t xml:space="preserve">At November meeting</t>
  </si>
  <si>
    <t xml:space="preserve">T-09</t>
  </si>
  <si>
    <t xml:space="preserve">Archive 2024 paper records</t>
  </si>
  <si>
    <t xml:space="preserve">Low</t>
  </si>
  <si>
    <t xml:space="preserve">T-10</t>
  </si>
  <si>
    <t xml:space="preserve">Order printed certificates for showcase</t>
  </si>
  <si>
    <t xml:space="preserve">Summary</t>
  </si>
  <si>
    <t xml:space="preserve">Counts update automatically from the Tasks sheet</t>
  </si>
  <si>
    <t xml:space="preserve">Tasks</t>
  </si>
  <si>
    <t xml:space="preserve">Blocked</t>
  </si>
  <si>
    <t xml:space="preserve">Overdue (past due, not done)</t>
  </si>
  <si>
    <t xml:space="preserve">Total</t>
  </si>
  <si>
    <t xml:space="preserve">Open tasks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</si>
</sst>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%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9A6A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8223A"/>
      <name val="Arial"/>
      <family val="0"/>
      <charset val="1"/>
    </font>
    <font>
      <i val="true"/>
      <sz val="9"/>
      <color rgb="FF4F59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8223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AE3"/>
      </left>
      <right style="thin">
        <color rgb="FFD6DAE3"/>
      </right>
      <top style="thin">
        <color rgb="FFD6DAE3"/>
      </top>
      <bottom style="thin">
        <color rgb="FFD6DA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8223A"/>
          <bgColor rgb="FF000000"/>
        </patternFill>
      </fill>
    </dxf>
    <dxf>
      <fill>
        <patternFill patternType="solid">
          <fgColor rgb="FFE3F2E8"/>
          <bgColor rgb="FF000000"/>
        </patternFill>
      </fill>
    </dxf>
    <dxf>
      <fill>
        <patternFill patternType="solid">
          <fgColor rgb="FFFBE4E2"/>
          <bgColor rgb="FF000000"/>
        </patternFill>
      </fill>
    </dxf>
    <dxf>
      <fill>
        <patternFill patternType="solid">
          <fgColor rgb="FFFBF0D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BE4E2"/>
        </patternFill>
      </fill>
    </dxf>
    <dxf>
      <fill>
        <patternFill>
          <bgColor rgb="FFE3F2E8"/>
        </patternFill>
      </fill>
    </dxf>
    <dxf>
      <fill>
        <patternFill>
          <bgColor rgb="FFFBF0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00"/>
      <rgbColor rgb="FF800080"/>
      <rgbColor rgb="FF008080"/>
      <rgbColor rgb="FFC0C0C0"/>
      <rgbColor rgb="FF808080"/>
      <rgbColor rgb="FF9999FF"/>
      <rgbColor rgb="FF993366"/>
      <rgbColor rgb="FFFBF0D4"/>
      <rgbColor rgb="FFE3F2E8"/>
      <rgbColor rgb="FF660066"/>
      <rgbColor rgb="FFFF8080"/>
      <rgbColor rgb="FF0066CC"/>
      <rgbColor rgb="FFD6DA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4E2"/>
      <rgbColor rgb="FF3366FF"/>
      <rgbColor rgb="FF33CCCC"/>
      <rgbColor rgb="FF99CC00"/>
      <rgbColor rgb="FFFFCC00"/>
      <rgbColor rgb="FFFF9900"/>
      <rgbColor rgb="FFFF6600"/>
      <rgbColor rgb="FF4F596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23.8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4" t="s">
        <v>8</v>
      </c>
    </row>
    <row r="2" customFormat="false" ht="15" hidden="false" customHeight="false" outlineLevel="0" collapsed="false">
      <c r="A2" s="5" t="s">
        <v>9</v>
      </c>
    </row>
    <row r="4" customFormat="false" ht="30" hidden="false" customHeight="true" outlineLevel="0" collapsed="false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customFormat="false" ht="15" hidden="false" customHeight="false" outlineLevel="0" collapsed="false">
      <c r="A5" s="7" t="s">
        <v>20</v>
      </c>
      <c r="B5" s="7" t="s">
        <v>21</v>
      </c>
      <c r="C5" s="7" t="s">
        <v>22</v>
      </c>
      <c r="D5" s="7" t="s">
        <v>23</v>
      </c>
      <c r="E5" s="8" t="n">
        <v>46300</v>
      </c>
      <c r="F5" s="8" t="n">
        <v>46309</v>
      </c>
      <c r="G5" s="7" t="s">
        <v>24</v>
      </c>
      <c r="H5" s="9" t="n">
        <v>1</v>
      </c>
      <c r="I5" s="10" t="str">
        <f aca="true">IF(OR(F5="",G5="Done"),"",F5-TODAY())</f>
        <v/>
      </c>
      <c r="J5" s="7"/>
    </row>
    <row r="6" customFormat="false" ht="15" hidden="false" customHeight="false" outlineLevel="0" collapsed="false">
      <c r="A6" s="7" t="s">
        <v>25</v>
      </c>
      <c r="B6" s="7" t="s">
        <v>26</v>
      </c>
      <c r="C6" s="7" t="s">
        <v>22</v>
      </c>
      <c r="D6" s="7" t="s">
        <v>23</v>
      </c>
      <c r="E6" s="8" t="n">
        <v>46303</v>
      </c>
      <c r="F6" s="8" t="n">
        <v>46311</v>
      </c>
      <c r="G6" s="7" t="s">
        <v>24</v>
      </c>
      <c r="H6" s="9" t="n">
        <v>1</v>
      </c>
      <c r="I6" s="10" t="str">
        <f aca="true">IF(OR(F6="",G6="Done"),"",F6-TODAY())</f>
        <v/>
      </c>
      <c r="J6" s="7"/>
    </row>
    <row r="7" customFormat="false" ht="15" hidden="false" customHeight="false" outlineLevel="0" collapsed="false">
      <c r="A7" s="7" t="s">
        <v>27</v>
      </c>
      <c r="B7" s="7" t="s">
        <v>28</v>
      </c>
      <c r="C7" s="7" t="s">
        <v>29</v>
      </c>
      <c r="D7" s="7" t="s">
        <v>30</v>
      </c>
      <c r="E7" s="8" t="n">
        <v>46307</v>
      </c>
      <c r="F7" s="8" t="n">
        <v>46318</v>
      </c>
      <c r="G7" s="7" t="s">
        <v>31</v>
      </c>
      <c r="H7" s="9" t="n">
        <v>0.6</v>
      </c>
      <c r="I7" s="10" t="n">
        <f aca="true">IF(OR(F7="",G7="Done"),"",F7-TODAY())</f>
        <v>5</v>
      </c>
      <c r="J7" s="7"/>
    </row>
    <row r="8" customFormat="false" ht="15" hidden="false" customHeight="false" outlineLevel="0" collapsed="false">
      <c r="A8" s="7" t="s">
        <v>32</v>
      </c>
      <c r="B8" s="7" t="s">
        <v>33</v>
      </c>
      <c r="C8" s="7" t="s">
        <v>34</v>
      </c>
      <c r="D8" s="7" t="s">
        <v>23</v>
      </c>
      <c r="E8" s="8" t="n">
        <v>46310</v>
      </c>
      <c r="F8" s="8" t="n">
        <v>46316</v>
      </c>
      <c r="G8" s="7" t="s">
        <v>31</v>
      </c>
      <c r="H8" s="9" t="n">
        <v>0.4</v>
      </c>
      <c r="I8" s="10" t="n">
        <f aca="true">IF(OR(F8="",G8="Done"),"",F8-TODAY())</f>
        <v>3</v>
      </c>
      <c r="J8" s="7" t="s">
        <v>35</v>
      </c>
    </row>
    <row r="9" customFormat="false" ht="15" hidden="false" customHeight="false" outlineLevel="0" collapsed="false">
      <c r="A9" s="7" t="s">
        <v>36</v>
      </c>
      <c r="B9" s="7" t="s">
        <v>37</v>
      </c>
      <c r="C9" s="7" t="s">
        <v>38</v>
      </c>
      <c r="D9" s="7" t="s">
        <v>30</v>
      </c>
      <c r="E9" s="8" t="n">
        <v>46303</v>
      </c>
      <c r="F9" s="8" t="n">
        <v>46311</v>
      </c>
      <c r="G9" s="7" t="s">
        <v>31</v>
      </c>
      <c r="H9" s="9" t="n">
        <v>0.5</v>
      </c>
      <c r="I9" s="10" t="n">
        <f aca="true">IF(OR(F9="",G9="Done"),"",F9-TODAY())</f>
        <v>-2</v>
      </c>
      <c r="J9" s="7" t="s">
        <v>39</v>
      </c>
    </row>
    <row r="10" customFormat="false" ht="15" hidden="false" customHeight="false" outlineLevel="0" collapsed="false">
      <c r="A10" s="7" t="s">
        <v>40</v>
      </c>
      <c r="B10" s="7" t="s">
        <v>41</v>
      </c>
      <c r="C10" s="7" t="s">
        <v>42</v>
      </c>
      <c r="D10" s="7" t="s">
        <v>30</v>
      </c>
      <c r="E10" s="8" t="n">
        <v>46309</v>
      </c>
      <c r="F10" s="8" t="n">
        <v>46315</v>
      </c>
      <c r="G10" s="7" t="s">
        <v>43</v>
      </c>
      <c r="H10" s="9" t="n">
        <v>0</v>
      </c>
      <c r="I10" s="10" t="n">
        <f aca="true">IF(OR(F10="",G10="Done"),"",F10-TODAY())</f>
        <v>2</v>
      </c>
      <c r="J10" s="7"/>
    </row>
    <row r="11" customFormat="false" ht="15" hidden="false" customHeight="false" outlineLevel="0" collapsed="false">
      <c r="A11" s="7" t="s">
        <v>44</v>
      </c>
      <c r="B11" s="7" t="s">
        <v>45</v>
      </c>
      <c r="C11" s="7" t="s">
        <v>29</v>
      </c>
      <c r="D11" s="7" t="s">
        <v>23</v>
      </c>
      <c r="E11" s="8" t="n">
        <v>46304</v>
      </c>
      <c r="F11" s="8" t="n">
        <v>46318</v>
      </c>
      <c r="G11" s="7" t="s">
        <v>31</v>
      </c>
      <c r="H11" s="9" t="n">
        <v>0.7</v>
      </c>
      <c r="I11" s="10" t="n">
        <f aca="true">IF(OR(F11="",G11="Done"),"",F11-TODAY())</f>
        <v>5</v>
      </c>
      <c r="J11" s="7"/>
    </row>
    <row r="12" customFormat="false" ht="15" hidden="false" customHeight="false" outlineLevel="0" collapsed="false">
      <c r="A12" s="7" t="s">
        <v>46</v>
      </c>
      <c r="B12" s="7" t="s">
        <v>47</v>
      </c>
      <c r="C12" s="7" t="s">
        <v>22</v>
      </c>
      <c r="D12" s="7" t="s">
        <v>30</v>
      </c>
      <c r="E12" s="8" t="n">
        <v>46321</v>
      </c>
      <c r="F12" s="8" t="n">
        <v>46325</v>
      </c>
      <c r="G12" s="7" t="s">
        <v>43</v>
      </c>
      <c r="H12" s="9" t="n">
        <v>0</v>
      </c>
      <c r="I12" s="10" t="n">
        <f aca="true">IF(OR(F12="",G12="Done"),"",F12-TODAY())</f>
        <v>12</v>
      </c>
      <c r="J12" s="7" t="s">
        <v>48</v>
      </c>
    </row>
    <row r="13" customFormat="false" ht="15" hidden="false" customHeight="false" outlineLevel="0" collapsed="false">
      <c r="A13" s="7" t="s">
        <v>49</v>
      </c>
      <c r="B13" s="7" t="s">
        <v>50</v>
      </c>
      <c r="C13" s="7" t="s">
        <v>22</v>
      </c>
      <c r="D13" s="7" t="s">
        <v>51</v>
      </c>
      <c r="E13" s="8" t="n">
        <v>46314</v>
      </c>
      <c r="F13" s="8" t="n">
        <v>46332</v>
      </c>
      <c r="G13" s="7" t="s">
        <v>43</v>
      </c>
      <c r="H13" s="9" t="n">
        <v>0</v>
      </c>
      <c r="I13" s="10" t="n">
        <f aca="true">IF(OR(F13="",G13="Done"),"",F13-TODAY())</f>
        <v>19</v>
      </c>
      <c r="J13" s="7"/>
    </row>
    <row r="14" customFormat="false" ht="15" hidden="false" customHeight="false" outlineLevel="0" collapsed="false">
      <c r="A14" s="7" t="s">
        <v>52</v>
      </c>
      <c r="B14" s="7" t="s">
        <v>53</v>
      </c>
      <c r="C14" s="7" t="s">
        <v>38</v>
      </c>
      <c r="D14" s="7" t="s">
        <v>51</v>
      </c>
      <c r="E14" s="8" t="n">
        <v>46335</v>
      </c>
      <c r="F14" s="8" t="n">
        <v>46353</v>
      </c>
      <c r="G14" s="7" t="s">
        <v>43</v>
      </c>
      <c r="H14" s="9" t="n">
        <v>0</v>
      </c>
      <c r="I14" s="10" t="n">
        <f aca="true">IF(OR(F14="",G14="Done"),"",F14-TODAY())</f>
        <v>40</v>
      </c>
      <c r="J14" s="7"/>
    </row>
    <row r="15" customFormat="false" ht="15" hidden="false" customHeight="false" outlineLevel="0" collapsed="false">
      <c r="A15" s="7"/>
      <c r="B15" s="7"/>
      <c r="C15" s="7"/>
      <c r="D15" s="7"/>
      <c r="E15" s="8"/>
      <c r="F15" s="8"/>
      <c r="G15" s="7"/>
      <c r="H15" s="9"/>
      <c r="I15" s="10" t="str">
        <f aca="true">IF(OR(F15="",G15="Done"),"",F15-TODAY())</f>
        <v/>
      </c>
      <c r="J15" s="7"/>
    </row>
    <row r="16" customFormat="false" ht="15" hidden="false" customHeight="false" outlineLevel="0" collapsed="false">
      <c r="A16" s="7"/>
      <c r="B16" s="7"/>
      <c r="C16" s="7"/>
      <c r="D16" s="7"/>
      <c r="E16" s="8"/>
      <c r="F16" s="8"/>
      <c r="G16" s="7"/>
      <c r="H16" s="9"/>
      <c r="I16" s="10" t="str">
        <f aca="true">IF(OR(F16="",G16="Done"),"",F16-TODAY())</f>
        <v/>
      </c>
      <c r="J16" s="7"/>
    </row>
    <row r="17" customFormat="false" ht="15" hidden="false" customHeight="false" outlineLevel="0" collapsed="false">
      <c r="A17" s="7"/>
      <c r="B17" s="7"/>
      <c r="C17" s="7"/>
      <c r="D17" s="7"/>
      <c r="E17" s="8"/>
      <c r="F17" s="8"/>
      <c r="G17" s="7"/>
      <c r="H17" s="9"/>
      <c r="I17" s="10" t="str">
        <f aca="true">IF(OR(F17="",G17="Done"),"",F17-TODAY())</f>
        <v/>
      </c>
      <c r="J17" s="7"/>
    </row>
    <row r="18" customFormat="false" ht="15" hidden="false" customHeight="false" outlineLevel="0" collapsed="false">
      <c r="A18" s="7"/>
      <c r="B18" s="7"/>
      <c r="C18" s="7"/>
      <c r="D18" s="7"/>
      <c r="E18" s="8"/>
      <c r="F18" s="8"/>
      <c r="G18" s="7"/>
      <c r="H18" s="9"/>
      <c r="I18" s="10" t="str">
        <f aca="true">IF(OR(F18="",G18="Done"),"",F18-TODAY())</f>
        <v/>
      </c>
      <c r="J18" s="7"/>
    </row>
    <row r="19" customFormat="false" ht="15" hidden="false" customHeight="false" outlineLevel="0" collapsed="false">
      <c r="A19" s="7"/>
      <c r="B19" s="7"/>
      <c r="C19" s="7"/>
      <c r="D19" s="7"/>
      <c r="E19" s="8"/>
      <c r="F19" s="8"/>
      <c r="G19" s="7"/>
      <c r="H19" s="9"/>
      <c r="I19" s="10" t="str">
        <f aca="true">IF(OR(F19="",G19="Done"),"",F19-TODAY())</f>
        <v/>
      </c>
      <c r="J19" s="7"/>
    </row>
    <row r="20" customFormat="false" ht="15" hidden="false" customHeight="false" outlineLevel="0" collapsed="false">
      <c r="A20" s="7"/>
      <c r="B20" s="7"/>
      <c r="C20" s="7"/>
      <c r="D20" s="7"/>
      <c r="E20" s="8"/>
      <c r="F20" s="8"/>
      <c r="G20" s="7"/>
      <c r="H20" s="9"/>
      <c r="I20" s="10" t="str">
        <f aca="true">IF(OR(F20="",G20="Done"),"",F20-TODAY())</f>
        <v/>
      </c>
      <c r="J20" s="7"/>
    </row>
    <row r="21" customFormat="false" ht="15" hidden="false" customHeight="false" outlineLevel="0" collapsed="false">
      <c r="A21" s="7"/>
      <c r="B21" s="7"/>
      <c r="C21" s="7"/>
      <c r="D21" s="7"/>
      <c r="E21" s="8"/>
      <c r="F21" s="8"/>
      <c r="G21" s="7"/>
      <c r="H21" s="9"/>
      <c r="I21" s="10" t="str">
        <f aca="true">IF(OR(F21="",G21="Done"),"",F21-TODAY())</f>
        <v/>
      </c>
      <c r="J21" s="7"/>
    </row>
    <row r="22" customFormat="false" ht="15" hidden="false" customHeight="false" outlineLevel="0" collapsed="false">
      <c r="A22" s="7"/>
      <c r="B22" s="7"/>
      <c r="C22" s="7"/>
      <c r="D22" s="7"/>
      <c r="E22" s="8"/>
      <c r="F22" s="8"/>
      <c r="G22" s="7"/>
      <c r="H22" s="9"/>
      <c r="I22" s="10" t="str">
        <f aca="true">IF(OR(F22="",G22="Done"),"",F22-TODAY())</f>
        <v/>
      </c>
      <c r="J22" s="7"/>
    </row>
    <row r="23" customFormat="false" ht="15" hidden="false" customHeight="false" outlineLevel="0" collapsed="false">
      <c r="A23" s="7"/>
      <c r="B23" s="7"/>
      <c r="C23" s="7"/>
      <c r="D23" s="7"/>
      <c r="E23" s="8"/>
      <c r="F23" s="8"/>
      <c r="G23" s="7"/>
      <c r="H23" s="9"/>
      <c r="I23" s="10" t="str">
        <f aca="true">IF(OR(F23="",G23="Done"),"",F23-TODAY())</f>
        <v/>
      </c>
      <c r="J23" s="7"/>
    </row>
    <row r="24" customFormat="false" ht="15" hidden="false" customHeight="false" outlineLevel="0" collapsed="false">
      <c r="A24" s="7"/>
      <c r="B24" s="7"/>
      <c r="C24" s="7"/>
      <c r="D24" s="7"/>
      <c r="E24" s="8"/>
      <c r="F24" s="8"/>
      <c r="G24" s="7"/>
      <c r="H24" s="9"/>
      <c r="I24" s="10" t="str">
        <f aca="true">IF(OR(F24="",G24="Done"),"",F24-TODAY())</f>
        <v/>
      </c>
      <c r="J24" s="7"/>
    </row>
    <row r="25" customFormat="false" ht="15" hidden="false" customHeight="false" outlineLevel="0" collapsed="false">
      <c r="A25" s="7"/>
      <c r="B25" s="7"/>
      <c r="C25" s="7"/>
      <c r="D25" s="7"/>
      <c r="E25" s="8"/>
      <c r="F25" s="8"/>
      <c r="G25" s="7"/>
      <c r="H25" s="9"/>
      <c r="I25" s="10" t="str">
        <f aca="true">IF(OR(F25="",G25="Done"),"",F25-TODAY())</f>
        <v/>
      </c>
      <c r="J25" s="7"/>
    </row>
    <row r="26" customFormat="false" ht="15" hidden="false" customHeight="false" outlineLevel="0" collapsed="false">
      <c r="A26" s="7"/>
      <c r="B26" s="7"/>
      <c r="C26" s="7"/>
      <c r="D26" s="7"/>
      <c r="E26" s="8"/>
      <c r="F26" s="8"/>
      <c r="G26" s="7"/>
      <c r="H26" s="9"/>
      <c r="I26" s="10" t="str">
        <f aca="true">IF(OR(F26="",G26="Done"),"",F26-TODAY())</f>
        <v/>
      </c>
      <c r="J26" s="7"/>
    </row>
    <row r="27" customFormat="false" ht="15" hidden="false" customHeight="false" outlineLevel="0" collapsed="false">
      <c r="A27" s="7"/>
      <c r="B27" s="7"/>
      <c r="C27" s="7"/>
      <c r="D27" s="7"/>
      <c r="E27" s="8"/>
      <c r="F27" s="8"/>
      <c r="G27" s="7"/>
      <c r="H27" s="9"/>
      <c r="I27" s="10" t="str">
        <f aca="true">IF(OR(F27="",G27="Done"),"",F27-TODAY())</f>
        <v/>
      </c>
      <c r="J27" s="7"/>
    </row>
    <row r="28" customFormat="false" ht="15" hidden="false" customHeight="false" outlineLevel="0" collapsed="false">
      <c r="A28" s="7"/>
      <c r="B28" s="7"/>
      <c r="C28" s="7"/>
      <c r="D28" s="7"/>
      <c r="E28" s="8"/>
      <c r="F28" s="8"/>
      <c r="G28" s="7"/>
      <c r="H28" s="9"/>
      <c r="I28" s="10" t="str">
        <f aca="true">IF(OR(F28="",G28="Done"),"",F28-TODAY())</f>
        <v/>
      </c>
      <c r="J28" s="7"/>
    </row>
    <row r="29" customFormat="false" ht="15" hidden="false" customHeight="false" outlineLevel="0" collapsed="false">
      <c r="A29" s="7"/>
      <c r="B29" s="7"/>
      <c r="C29" s="7"/>
      <c r="D29" s="7"/>
      <c r="E29" s="8"/>
      <c r="F29" s="8"/>
      <c r="G29" s="7"/>
      <c r="H29" s="9"/>
      <c r="I29" s="10" t="str">
        <f aca="true">IF(OR(F29="",G29="Done"),"",F29-TODAY())</f>
        <v/>
      </c>
      <c r="J29" s="7"/>
    </row>
  </sheetData>
  <autoFilter ref="A4:J29"/>
  <conditionalFormatting sqref="A5:J29">
    <cfRule type="expression" priority="2" aboveAverage="0" equalAverage="0" bottom="0" percent="0" rank="0" text="" dxfId="6">
      <formula>AND($I5&lt;&gt;"",$I5&lt;0)</formula>
    </cfRule>
    <cfRule type="expression" priority="3" aboveAverage="0" equalAverage="0" bottom="0" percent="0" rank="0" text="" dxfId="7">
      <formula>$G5="Done"</formula>
    </cfRule>
    <cfRule type="expression" priority="4" aboveAverage="0" equalAverage="0" bottom="0" percent="0" rank="0" text="" dxfId="8">
      <formula>AND($I5&lt;&gt;"",$I5&gt;=0,$I5&lt;=3)</formula>
    </cfRule>
  </conditionalFormatting>
  <dataValidations count="2">
    <dataValidation allowBlank="true" errorStyle="stop" operator="between" showDropDown="false" showErrorMessage="false" showInputMessage="false" sqref="G5:G29" type="list">
      <formula1>"Not started,In progress,Done,Blocked"</formula1>
      <formula2>0</formula2>
    </dataValidation>
    <dataValidation allowBlank="true" errorStyle="stop" operator="between" showDropDown="false" showErrorMessage="false" showInputMessage="false" sqref="D5:D29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4" t="s">
        <v>54</v>
      </c>
    </row>
    <row r="2" customFormat="false" ht="15" hidden="false" customHeight="false" outlineLevel="0" collapsed="false">
      <c r="A2" s="5" t="s">
        <v>55</v>
      </c>
    </row>
    <row r="4" customFormat="false" ht="30" hidden="false" customHeight="true" outlineLevel="0" collapsed="false">
      <c r="A4" s="6" t="s">
        <v>16</v>
      </c>
      <c r="B4" s="6" t="s">
        <v>56</v>
      </c>
    </row>
    <row r="5" customFormat="false" ht="15" hidden="false" customHeight="false" outlineLevel="0" collapsed="false">
      <c r="A5" s="7" t="s">
        <v>43</v>
      </c>
      <c r="B5" s="7" t="n">
        <f aca="false">COUNTIF(Tasks!$G$5:$G$29,A5)</f>
        <v>4</v>
      </c>
    </row>
    <row r="6" customFormat="false" ht="15" hidden="false" customHeight="false" outlineLevel="0" collapsed="false">
      <c r="A6" s="7" t="s">
        <v>31</v>
      </c>
      <c r="B6" s="7" t="n">
        <f aca="false">COUNTIF(Tasks!$G$5:$G$29,A6)</f>
        <v>4</v>
      </c>
    </row>
    <row r="7" customFormat="false" ht="15" hidden="false" customHeight="false" outlineLevel="0" collapsed="false">
      <c r="A7" s="7" t="s">
        <v>24</v>
      </c>
      <c r="B7" s="7" t="n">
        <f aca="false">COUNTIF(Tasks!$G$5:$G$29,A7)</f>
        <v>2</v>
      </c>
    </row>
    <row r="8" customFormat="false" ht="15" hidden="false" customHeight="false" outlineLevel="0" collapsed="false">
      <c r="A8" s="7" t="s">
        <v>57</v>
      </c>
      <c r="B8" s="7" t="n">
        <f aca="false">COUNTIF(Tasks!$G$5:$G$29,A8)</f>
        <v>0</v>
      </c>
    </row>
    <row r="9" customFormat="false" ht="23.85" hidden="false" customHeight="false" outlineLevel="0" collapsed="false">
      <c r="A9" s="7" t="s">
        <v>58</v>
      </c>
      <c r="B9" s="7" t="n">
        <f aca="false">COUNTIFS(Tasks!$I$5:$I$29,"&lt;0")</f>
        <v>1</v>
      </c>
    </row>
    <row r="10" customFormat="false" ht="15" hidden="false" customHeight="false" outlineLevel="0" collapsed="false">
      <c r="A10" s="11" t="s">
        <v>59</v>
      </c>
      <c r="B10" s="11" t="n">
        <f aca="false">SUM(B5:B8)</f>
        <v>10</v>
      </c>
    </row>
    <row r="12" customFormat="false" ht="30" hidden="false" customHeight="true" outlineLevel="0" collapsed="false">
      <c r="A12" s="6" t="s">
        <v>12</v>
      </c>
      <c r="B12" s="6" t="s">
        <v>60</v>
      </c>
    </row>
    <row r="13" customFormat="false" ht="15" hidden="false" customHeight="false" outlineLevel="0" collapsed="false">
      <c r="A13" s="7" t="s">
        <v>22</v>
      </c>
      <c r="B13" s="7" t="n">
        <f aca="false">COUNTIFS(Tasks!$C$5:$C$29,A13,Tasks!$G$5:$G$29,"&lt;&gt;Done")</f>
        <v>2</v>
      </c>
    </row>
    <row r="14" customFormat="false" ht="15" hidden="false" customHeight="false" outlineLevel="0" collapsed="false">
      <c r="A14" s="7" t="s">
        <v>34</v>
      </c>
      <c r="B14" s="7" t="n">
        <f aca="false">COUNTIFS(Tasks!$C$5:$C$29,A14,Tasks!$G$5:$G$29,"&lt;&gt;Done")</f>
        <v>1</v>
      </c>
    </row>
    <row r="15" customFormat="false" ht="15" hidden="false" customHeight="false" outlineLevel="0" collapsed="false">
      <c r="A15" s="7" t="s">
        <v>29</v>
      </c>
      <c r="B15" s="7" t="n">
        <f aca="false">COUNTIFS(Tasks!$C$5:$C$29,A15,Tasks!$G$5:$G$29,"&lt;&gt;Done")</f>
        <v>2</v>
      </c>
    </row>
    <row r="16" customFormat="false" ht="15" hidden="false" customHeight="false" outlineLevel="0" collapsed="false">
      <c r="A16" s="7" t="s">
        <v>38</v>
      </c>
      <c r="B16" s="7" t="n">
        <f aca="false">COUNTIFS(Tasks!$C$5:$C$29,A16,Tasks!$G$5:$G$29,"&lt;&gt;Done")</f>
        <v>2</v>
      </c>
    </row>
    <row r="17" customFormat="false" ht="15" hidden="false" customHeight="false" outlineLevel="0" collapsed="false">
      <c r="A17" s="7" t="s">
        <v>42</v>
      </c>
      <c r="B17" s="7" t="n">
        <f aca="false">COUNTIFS(Tasks!$C$5:$C$29,A17,Tasks!$G$5:$G$29,"&lt;&gt;Done")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2026-10-18T03:11:38Z</dcterms:created>
  <dc:creator>openpyxl</dc:creator>
  <dc:description/>
  <dc:language>en-US</dc:language>
  <cp:lastModifiedBy/>
  <dcterms:modified xsi:type="dcterms:W3CDTF">2026-10-18T03:11:38Z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